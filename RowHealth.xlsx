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B0E53EBC-9D6D-4684-9F65-D86862627A56}" xr6:coauthVersionLast="47" xr6:coauthVersionMax="47" xr10:uidLastSave="{00000000-0000-0000-0000-000000000000}"/>
  <bookViews>
    <workbookView xWindow="-110" yWindow="-110" windowWidth="19420" windowHeight="10300" xr2:uid="{CB434895-7BC3-40DE-A2FE-498155C13A05}"/>
  </bookViews>
  <sheets>
    <sheet name="Row health" sheetId="1" r:id="rId1"/>
  </sheets>
  <definedNames>
    <definedName name="_xlnm._FilterDatabase" localSheetId="0" hidden="1">'Row health'!$A$1:$M$44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4" i="1" l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<sst xmlns="http://schemas.openxmlformats.org/spreadsheetml/2006/main" count="185" uniqueCount="77">
  <si>
    <t>campaign_category</t>
  </si>
  <si>
    <t>campaign_type</t>
  </si>
  <si>
    <t>cost</t>
  </si>
  <si>
    <t>platform</t>
  </si>
  <si>
    <t>impressions</t>
  </si>
  <si>
    <t>clicks</t>
  </si>
  <si>
    <t>days_run</t>
  </si>
  <si>
    <t>signup_count</t>
  </si>
  <si>
    <t>CAM001</t>
  </si>
  <si>
    <t>Health For All</t>
  </si>
  <si>
    <t>Policy Information</t>
  </si>
  <si>
    <t>Social Media</t>
  </si>
  <si>
    <t>CAM002</t>
  </si>
  <si>
    <t>Offer Announcement</t>
  </si>
  <si>
    <t>Email</t>
  </si>
  <si>
    <t>CAM003</t>
  </si>
  <si>
    <t>Customer Testimonial</t>
  </si>
  <si>
    <t>CAM004</t>
  </si>
  <si>
    <t>Benefit Updates</t>
  </si>
  <si>
    <t>Health Awareness</t>
  </si>
  <si>
    <t>CAM005</t>
  </si>
  <si>
    <t>Product Promotion</t>
  </si>
  <si>
    <t>SEO</t>
  </si>
  <si>
    <t>CAM006</t>
  </si>
  <si>
    <t>CAM007</t>
  </si>
  <si>
    <t>Summer Wellness Tips</t>
  </si>
  <si>
    <t>CAM008</t>
  </si>
  <si>
    <t>CAM009</t>
  </si>
  <si>
    <t>CAM010</t>
  </si>
  <si>
    <t>CAM011</t>
  </si>
  <si>
    <t>Compare Health Coverage</t>
  </si>
  <si>
    <t>Covid Awareness</t>
  </si>
  <si>
    <t>CAM012</t>
  </si>
  <si>
    <t>CAM013</t>
  </si>
  <si>
    <t>CAM014</t>
  </si>
  <si>
    <t>Affordable Plans</t>
  </si>
  <si>
    <t>CAM015</t>
  </si>
  <si>
    <t>CAM016</t>
  </si>
  <si>
    <t>CAM017</t>
  </si>
  <si>
    <t>Preventive Care News</t>
  </si>
  <si>
    <t>CAM018</t>
  </si>
  <si>
    <t>CAM019</t>
  </si>
  <si>
    <t>CAM020</t>
  </si>
  <si>
    <t>CAM021</t>
  </si>
  <si>
    <t>#CoverageMatters</t>
  </si>
  <si>
    <t>CAM022</t>
  </si>
  <si>
    <t>CAM023</t>
  </si>
  <si>
    <t>CAM024</t>
  </si>
  <si>
    <t>#HealthyLiving</t>
  </si>
  <si>
    <t>CAM025</t>
  </si>
  <si>
    <t>CAM026</t>
  </si>
  <si>
    <t>CAM027</t>
  </si>
  <si>
    <t>CAM028</t>
  </si>
  <si>
    <t>#InsureYourHealth</t>
  </si>
  <si>
    <t>CAM029</t>
  </si>
  <si>
    <t>CAM030</t>
  </si>
  <si>
    <t>CAM031</t>
  </si>
  <si>
    <t>Tailored Health Plans</t>
  </si>
  <si>
    <t>CAM032</t>
  </si>
  <si>
    <t>CAM033</t>
  </si>
  <si>
    <t>CAM034</t>
  </si>
  <si>
    <t>CAM035</t>
  </si>
  <si>
    <t>Golden Years Security</t>
  </si>
  <si>
    <t>CAM036</t>
  </si>
  <si>
    <t>CAM037</t>
  </si>
  <si>
    <t>CAM038</t>
  </si>
  <si>
    <t>Family Coverage Plan</t>
  </si>
  <si>
    <t>CAM039</t>
  </si>
  <si>
    <t>CAM040</t>
  </si>
  <si>
    <t>CAM041</t>
  </si>
  <si>
    <t>CAM042</t>
  </si>
  <si>
    <t>CAM043</t>
  </si>
  <si>
    <t>CTR</t>
  </si>
  <si>
    <t>CPC</t>
  </si>
  <si>
    <t>CPS</t>
  </si>
  <si>
    <t>Signup Rate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</si>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</sst>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$-409]#,##0.00"/>
    <numFmt numFmtId="165" formatCode="_-* #,##0_-;\-* #,##0_-;_-* &quot;-&quot;??_-;_-@_-"/>
    <numFmt numFmtId="166" formatCode="[$$-409]#,##0"/>
    <numFmt numFmtId="167" formatCode="&quot;Ksh&quot;#,##0.0"/>
    <numFmt numFmtId="168" formatCode="&quot;Ksh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indent="7"/>
    </xf>
    <xf numFmtId="0" fontId="2" fillId="0" borderId="0" xfId="0" applyFont="1" applyAlignment="1">
      <alignment horizontal="center"/>
    </xf>
    <xf numFmtId="10" fontId="0" fillId="0" borderId="0" xfId="1" applyNumberFormat="1" applyFont="1"/>
    <xf numFmtId="164" fontId="2" fillId="0" borderId="0" xfId="0" applyNumberFormat="1" applyFont="1" applyAlignment="1">
      <alignment horizontal="center"/>
    </xf>
    <xf numFmtId="164" fontId="0" fillId="0" borderId="0" xfId="1" applyNumberFormat="1" applyFont="1"/>
    <xf numFmtId="164" fontId="0" fillId="0" borderId="0" xfId="0" applyNumberFormat="1"/>
    <xf numFmtId="165" fontId="0" fillId="0" borderId="0" xfId="2" applyNumberFormat="1" applyFont="1"/>
    <xf numFmtId="3" fontId="0" fillId="0" borderId="0" xfId="0" applyNumberFormat="1"/>
    <xf numFmtId="3" fontId="0" fillId="0" borderId="0" xfId="2" applyNumberFormat="1" applyFont="1"/>
    <xf numFmtId="166" fontId="2" fillId="0" borderId="0" xfId="0" applyNumberFormat="1" applyFont="1" applyAlignment="1">
      <alignment horizontal="center"/>
    </xf>
    <xf numFmtId="166" fontId="0" fillId="0" borderId="0" xfId="0" applyNumberFormat="1"/>
    <xf numFmtId="165" fontId="2" fillId="0" borderId="0" xfId="2" applyNumberFormat="1" applyFont="1" applyAlignment="1">
      <alignment horizontal="left" indent="9"/>
    </xf>
    <xf numFmtId="167" fontId="0" fillId="0" borderId="0" xfId="0" applyNumberFormat="1"/>
    <xf numFmtId="165" fontId="2" fillId="0" borderId="0" xfId="2" applyNumberFormat="1" applyFont="1" applyAlignment="1">
      <alignment horizontal="center"/>
    </xf>
    <xf numFmtId="168" fontId="0" fillId="0" borderId="0" xfId="1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D86481-5140-4A6D-BC6D-3F3025D485C8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D8E2-6CA0-43D8-ABD4-6AD063D54BF6}">
  <dimension ref="A1:M61"/>
  <sheetViews>
    <sheetView tabSelected="1" zoomScaleNormal="100" workbookViewId="0">
      <selection activeCell="A2" sqref="A2"/>
    </sheetView>
  </sheetViews>
  <sheetFormatPr defaultRowHeight="14.5" x14ac:dyDescent="0.35"/>
  <cols>
    <col min="1" max="1" width="15.6328125" customWidth="1"/>
    <col min="2" max="2" width="22.26953125" bestFit="1" customWidth="1"/>
    <col min="3" max="3" width="18.7265625" bestFit="1" customWidth="1"/>
    <col min="4" max="4" width="10.26953125" style="12" customWidth="1"/>
    <col min="5" max="5" width="15.6328125" customWidth="1"/>
    <col min="6" max="6" width="12.26953125" customWidth="1"/>
    <col min="7" max="7" width="12" style="8" customWidth="1"/>
    <col min="8" max="8" width="11" customWidth="1"/>
    <col min="9" max="9" width="15.6328125" customWidth="1"/>
    <col min="10" max="10" width="10.90625" customWidth="1"/>
    <col min="11" max="11" width="10.81640625" customWidth="1"/>
    <col min="12" max="12" width="9" style="7" customWidth="1"/>
    <col min="13" max="13" width="14.81640625" style="7" customWidth="1"/>
  </cols>
  <sheetData>
    <row r="1" spans="1:13" ht="16" x14ac:dyDescent="0.4">
      <c r="A1" s="1" t="s">
        <v>76</v>
      </c>
      <c r="B1" s="1" t="s">
        <v>0</v>
      </c>
      <c r="C1" s="1" t="s">
        <v>1</v>
      </c>
      <c r="D1" s="11" t="s">
        <v>2</v>
      </c>
      <c r="E1" s="1" t="s">
        <v>3</v>
      </c>
      <c r="F1" s="3" t="s">
        <v>4</v>
      </c>
      <c r="G1" s="15" t="s">
        <v>5</v>
      </c>
      <c r="H1" s="3" t="s">
        <v>6</v>
      </c>
      <c r="I1" s="3" t="s">
        <v>7</v>
      </c>
      <c r="J1" s="3" t="s">
        <v>72</v>
      </c>
      <c r="K1" s="3" t="s">
        <v>75</v>
      </c>
      <c r="L1" s="5" t="s">
        <v>73</v>
      </c>
      <c r="M1" s="5" t="s">
        <v>74</v>
      </c>
    </row>
    <row r="2" spans="1:13" x14ac:dyDescent="0.35">
      <c r="A2" t="s">
        <v>8</v>
      </c>
      <c r="B2" t="s">
        <v>9</v>
      </c>
      <c r="C2" t="s">
        <v>10</v>
      </c>
      <c r="D2" s="14">
        <v>734.82500000000005</v>
      </c>
      <c r="E2" t="s">
        <v>11</v>
      </c>
      <c r="F2" s="9">
        <v>33124</v>
      </c>
      <c r="G2" s="8">
        <v>12498</v>
      </c>
      <c r="H2">
        <v>33</v>
      </c>
      <c r="I2" s="9">
        <v>1383</v>
      </c>
      <c r="J2" s="4">
        <f>IFERROR(G2/F2,"")</f>
        <v>0.37730950368313004</v>
      </c>
      <c r="K2" s="4">
        <f>IFERROR(I2/F2,"")</f>
        <v>4.175220384011593E-2</v>
      </c>
      <c r="L2" s="6">
        <f>IFERROR(D2/G2,"")</f>
        <v>5.8795407265162428E-2</v>
      </c>
      <c r="M2" s="16">
        <v>0.53132682574114198</v>
      </c>
    </row>
    <row r="3" spans="1:13" x14ac:dyDescent="0.35">
      <c r="A3" t="s">
        <v>12</v>
      </c>
      <c r="B3" t="s">
        <v>9</v>
      </c>
      <c r="C3" t="s">
        <v>13</v>
      </c>
      <c r="D3" s="14">
        <v>330.66199999999998</v>
      </c>
      <c r="E3" t="s">
        <v>14</v>
      </c>
      <c r="F3" s="9">
        <v>25498</v>
      </c>
      <c r="G3" s="8">
        <v>8537</v>
      </c>
      <c r="H3">
        <v>28</v>
      </c>
      <c r="I3" s="9">
        <v>576</v>
      </c>
      <c r="J3" s="4">
        <f t="shared" ref="J3:J44" si="0">IFERROR(G3/F3,"")</f>
        <v>0.33481057337830417</v>
      </c>
      <c r="K3" s="4">
        <f t="shared" ref="K3:K44" si="1">IFERROR(I3/F3,"")</f>
        <v>2.2590007059377207E-2</v>
      </c>
      <c r="L3" s="6">
        <f t="shared" ref="L3:L44" si="2">IFERROR(D3/G3,"")</f>
        <v>3.873281012065128E-2</v>
      </c>
      <c r="M3" s="16">
        <v>0.574065972222222</v>
      </c>
    </row>
    <row r="4" spans="1:13" x14ac:dyDescent="0.35">
      <c r="A4" t="s">
        <v>15</v>
      </c>
      <c r="B4" t="s">
        <v>9</v>
      </c>
      <c r="C4" t="s">
        <v>16</v>
      </c>
      <c r="D4" s="14">
        <v>965.71299999999997</v>
      </c>
      <c r="E4" t="s">
        <v>14</v>
      </c>
      <c r="F4" s="9">
        <v>61870</v>
      </c>
      <c r="G4" s="8">
        <v>20082</v>
      </c>
      <c r="H4">
        <v>34</v>
      </c>
      <c r="I4" s="9">
        <v>1586</v>
      </c>
      <c r="J4" s="4">
        <f t="shared" si="0"/>
        <v>0.32458380475189913</v>
      </c>
      <c r="K4" s="4">
        <f t="shared" si="1"/>
        <v>2.5634394698561502E-2</v>
      </c>
      <c r="L4" s="6">
        <f t="shared" si="2"/>
        <v>4.8088487202469873E-2</v>
      </c>
      <c r="M4" s="16">
        <v>0.60889848675914204</v>
      </c>
    </row>
    <row r="5" spans="1:13" x14ac:dyDescent="0.35">
      <c r="A5" t="s">
        <v>17</v>
      </c>
      <c r="B5" t="s">
        <v>18</v>
      </c>
      <c r="C5" t="s">
        <v>19</v>
      </c>
      <c r="D5" s="14">
        <v>617.13</v>
      </c>
      <c r="E5" t="s">
        <v>14</v>
      </c>
      <c r="F5" s="9">
        <v>49982</v>
      </c>
      <c r="G5" s="8">
        <v>10859</v>
      </c>
      <c r="H5">
        <v>37</v>
      </c>
      <c r="I5" s="9">
        <v>13</v>
      </c>
      <c r="J5" s="4">
        <f t="shared" si="0"/>
        <v>0.21725821295666439</v>
      </c>
      <c r="K5" s="4">
        <f t="shared" si="1"/>
        <v>2.6009363370813494E-4</v>
      </c>
      <c r="L5" s="6">
        <f t="shared" si="2"/>
        <v>5.6831199926328388E-2</v>
      </c>
      <c r="M5" s="16">
        <v>47.471538461538501</v>
      </c>
    </row>
    <row r="6" spans="1:13" x14ac:dyDescent="0.35">
      <c r="A6" t="s">
        <v>20</v>
      </c>
      <c r="B6" t="s">
        <v>18</v>
      </c>
      <c r="C6" t="s">
        <v>21</v>
      </c>
      <c r="D6" s="14">
        <v>458.65</v>
      </c>
      <c r="E6" t="s">
        <v>22</v>
      </c>
      <c r="F6" s="9">
        <v>62889</v>
      </c>
      <c r="G6" s="8">
        <v>15289</v>
      </c>
      <c r="H6">
        <v>29</v>
      </c>
      <c r="I6" s="9">
        <v>8</v>
      </c>
      <c r="J6" s="4">
        <f t="shared" si="0"/>
        <v>0.24311087789597544</v>
      </c>
      <c r="K6" s="4">
        <f t="shared" si="1"/>
        <v>1.2720825581580245E-4</v>
      </c>
      <c r="L6" s="6">
        <f t="shared" si="2"/>
        <v>2.9998691869971873E-2</v>
      </c>
      <c r="M6" s="16">
        <v>57.331249999999997</v>
      </c>
    </row>
    <row r="7" spans="1:13" x14ac:dyDescent="0.35">
      <c r="A7" t="s">
        <v>23</v>
      </c>
      <c r="B7" t="s">
        <v>18</v>
      </c>
      <c r="C7" t="s">
        <v>16</v>
      </c>
      <c r="D7" s="14">
        <v>1075.52</v>
      </c>
      <c r="E7" t="s">
        <v>22</v>
      </c>
      <c r="F7" s="9">
        <v>131409</v>
      </c>
      <c r="G7" s="8">
        <v>26297</v>
      </c>
      <c r="H7">
        <v>48</v>
      </c>
      <c r="I7" s="9">
        <v>24</v>
      </c>
      <c r="J7" s="4">
        <f t="shared" si="0"/>
        <v>0.20011566939859524</v>
      </c>
      <c r="K7" s="4">
        <f t="shared" si="1"/>
        <v>1.8263589251877726E-4</v>
      </c>
      <c r="L7" s="6">
        <f t="shared" si="2"/>
        <v>4.0898961858767159E-2</v>
      </c>
      <c r="M7" s="16">
        <v>44.813333333333297</v>
      </c>
    </row>
    <row r="8" spans="1:13" x14ac:dyDescent="0.35">
      <c r="A8" t="s">
        <v>24</v>
      </c>
      <c r="B8" t="s">
        <v>25</v>
      </c>
      <c r="C8" t="s">
        <v>10</v>
      </c>
      <c r="D8" s="14">
        <v>460.91499999999996</v>
      </c>
      <c r="E8" t="s">
        <v>14</v>
      </c>
      <c r="F8" s="9">
        <v>111022</v>
      </c>
      <c r="G8" s="8">
        <v>18658</v>
      </c>
      <c r="H8">
        <v>39</v>
      </c>
      <c r="I8" s="9">
        <v>54</v>
      </c>
      <c r="J8" s="4">
        <f t="shared" si="0"/>
        <v>0.16805678153879411</v>
      </c>
      <c r="K8" s="4">
        <f t="shared" si="1"/>
        <v>4.8639008484804814E-4</v>
      </c>
      <c r="L8" s="6">
        <f t="shared" si="2"/>
        <v>2.4703344409904595E-2</v>
      </c>
      <c r="M8" s="16">
        <v>8.5354629629629599</v>
      </c>
    </row>
    <row r="9" spans="1:13" x14ac:dyDescent="0.35">
      <c r="A9" t="s">
        <v>26</v>
      </c>
      <c r="B9" t="s">
        <v>25</v>
      </c>
      <c r="C9" t="s">
        <v>19</v>
      </c>
      <c r="D9" s="14">
        <v>369.48099999999999</v>
      </c>
      <c r="E9" t="s">
        <v>22</v>
      </c>
      <c r="F9" s="9">
        <v>99367</v>
      </c>
      <c r="G9" s="8">
        <v>16265</v>
      </c>
      <c r="H9">
        <v>40</v>
      </c>
      <c r="I9" s="9">
        <v>36</v>
      </c>
      <c r="J9" s="4">
        <f t="shared" si="0"/>
        <v>0.1636861332233035</v>
      </c>
      <c r="K9" s="4">
        <f t="shared" si="1"/>
        <v>3.6229331669467729E-4</v>
      </c>
      <c r="L9" s="6">
        <f t="shared" si="2"/>
        <v>2.2716323393790348E-2</v>
      </c>
      <c r="M9" s="16">
        <v>10.263361111111099</v>
      </c>
    </row>
    <row r="10" spans="1:13" x14ac:dyDescent="0.35">
      <c r="A10" t="s">
        <v>27</v>
      </c>
      <c r="B10" t="s">
        <v>25</v>
      </c>
      <c r="C10" t="s">
        <v>19</v>
      </c>
      <c r="D10" s="14">
        <v>367.25</v>
      </c>
      <c r="E10" t="s">
        <v>11</v>
      </c>
      <c r="F10" s="9">
        <v>104850</v>
      </c>
      <c r="G10" s="8">
        <v>19243</v>
      </c>
      <c r="H10">
        <v>47</v>
      </c>
      <c r="I10" s="9">
        <v>28</v>
      </c>
      <c r="J10" s="4">
        <f t="shared" si="0"/>
        <v>0.18352885073915118</v>
      </c>
      <c r="K10" s="4">
        <f t="shared" si="1"/>
        <v>2.6704816404387222E-4</v>
      </c>
      <c r="L10" s="6">
        <f t="shared" si="2"/>
        <v>1.9084862027750352E-2</v>
      </c>
      <c r="M10" s="16">
        <v>13.116071428571399</v>
      </c>
    </row>
    <row r="11" spans="1:13" x14ac:dyDescent="0.35">
      <c r="A11" t="s">
        <v>28</v>
      </c>
      <c r="B11" t="s">
        <v>25</v>
      </c>
      <c r="C11" t="s">
        <v>21</v>
      </c>
      <c r="D11" s="14">
        <v>482.95400000000001</v>
      </c>
      <c r="E11" t="s">
        <v>14</v>
      </c>
      <c r="F11" s="9">
        <v>190481</v>
      </c>
      <c r="G11" s="8">
        <v>35389</v>
      </c>
      <c r="H11">
        <v>47</v>
      </c>
      <c r="I11" s="9">
        <v>45</v>
      </c>
      <c r="J11" s="4">
        <f t="shared" si="0"/>
        <v>0.18578755886413867</v>
      </c>
      <c r="K11" s="4">
        <f t="shared" si="1"/>
        <v>2.3624403483812033E-4</v>
      </c>
      <c r="L11" s="6">
        <f t="shared" si="2"/>
        <v>1.364700895758569E-2</v>
      </c>
      <c r="M11" s="16">
        <v>10.7323111111111</v>
      </c>
    </row>
    <row r="12" spans="1:13" x14ac:dyDescent="0.35">
      <c r="A12" t="s">
        <v>29</v>
      </c>
      <c r="B12" t="s">
        <v>30</v>
      </c>
      <c r="C12" t="s">
        <v>31</v>
      </c>
      <c r="D12" s="14">
        <v>1233.415</v>
      </c>
      <c r="E12" t="s">
        <v>22</v>
      </c>
      <c r="F12" s="9">
        <v>127214</v>
      </c>
      <c r="G12" s="8">
        <v>19093</v>
      </c>
      <c r="H12">
        <v>34</v>
      </c>
      <c r="I12" s="9">
        <v>870</v>
      </c>
      <c r="J12" s="4">
        <f t="shared" si="0"/>
        <v>0.15008568239344727</v>
      </c>
      <c r="K12" s="4">
        <f t="shared" si="1"/>
        <v>6.8388699356989012E-3</v>
      </c>
      <c r="L12" s="6">
        <f t="shared" si="2"/>
        <v>6.4600377101555542E-2</v>
      </c>
      <c r="M12" s="16">
        <v>1.4177183908046</v>
      </c>
    </row>
    <row r="13" spans="1:13" x14ac:dyDescent="0.35">
      <c r="A13" t="s">
        <v>32</v>
      </c>
      <c r="B13" t="s">
        <v>30</v>
      </c>
      <c r="C13" t="s">
        <v>10</v>
      </c>
      <c r="D13" s="14">
        <v>713.21899999999994</v>
      </c>
      <c r="E13" t="s">
        <v>22</v>
      </c>
      <c r="F13" s="9">
        <v>95551</v>
      </c>
      <c r="G13" s="8">
        <v>14519</v>
      </c>
      <c r="H13">
        <v>32</v>
      </c>
      <c r="I13" s="9">
        <v>395</v>
      </c>
      <c r="J13" s="4">
        <f t="shared" si="0"/>
        <v>0.15195026739646891</v>
      </c>
      <c r="K13" s="4">
        <f t="shared" si="1"/>
        <v>4.1339180123703568E-3</v>
      </c>
      <c r="L13" s="6">
        <f t="shared" si="2"/>
        <v>4.9123148977202283E-2</v>
      </c>
      <c r="M13" s="16">
        <v>1.8056177215189901</v>
      </c>
    </row>
    <row r="14" spans="1:13" x14ac:dyDescent="0.35">
      <c r="A14" t="s">
        <v>33</v>
      </c>
      <c r="B14" t="s">
        <v>30</v>
      </c>
      <c r="C14" t="s">
        <v>13</v>
      </c>
      <c r="D14" s="14">
        <v>2029.7660000000001</v>
      </c>
      <c r="E14" t="s">
        <v>14</v>
      </c>
      <c r="F14" s="9">
        <v>273805</v>
      </c>
      <c r="G14" s="8">
        <v>43021</v>
      </c>
      <c r="H14">
        <v>23</v>
      </c>
      <c r="I14" s="9">
        <v>1555</v>
      </c>
      <c r="J14" s="4">
        <f t="shared" si="0"/>
        <v>0.15712276985445847</v>
      </c>
      <c r="K14" s="4">
        <f t="shared" si="1"/>
        <v>5.6792242654443853E-3</v>
      </c>
      <c r="L14" s="6">
        <f t="shared" si="2"/>
        <v>4.7180818669951885E-2</v>
      </c>
      <c r="M14" s="16">
        <v>1.3053157556270101</v>
      </c>
    </row>
    <row r="15" spans="1:13" x14ac:dyDescent="0.35">
      <c r="A15" t="s">
        <v>34</v>
      </c>
      <c r="B15" t="s">
        <v>35</v>
      </c>
      <c r="C15" t="s">
        <v>10</v>
      </c>
      <c r="D15" s="14">
        <v>266.85300000000001</v>
      </c>
      <c r="E15" t="s">
        <v>11</v>
      </c>
      <c r="F15" s="9">
        <v>53677</v>
      </c>
      <c r="G15" s="8">
        <v>8260</v>
      </c>
      <c r="H15">
        <v>23</v>
      </c>
      <c r="I15" s="9">
        <v>13</v>
      </c>
      <c r="J15" s="4">
        <f t="shared" si="0"/>
        <v>0.15388341375263148</v>
      </c>
      <c r="K15" s="4">
        <f t="shared" si="1"/>
        <v>2.4218939210462581E-4</v>
      </c>
      <c r="L15" s="6">
        <f t="shared" si="2"/>
        <v>3.2306658595641649E-2</v>
      </c>
      <c r="M15" s="16">
        <v>20.527153846153801</v>
      </c>
    </row>
    <row r="16" spans="1:13" x14ac:dyDescent="0.35">
      <c r="A16" t="s">
        <v>36</v>
      </c>
      <c r="B16" t="s">
        <v>35</v>
      </c>
      <c r="C16" t="s">
        <v>19</v>
      </c>
      <c r="D16" s="14">
        <v>242.39000000000001</v>
      </c>
      <c r="E16" t="s">
        <v>11</v>
      </c>
      <c r="F16" s="9">
        <v>54948</v>
      </c>
      <c r="G16" s="8">
        <v>9374</v>
      </c>
      <c r="H16">
        <v>31</v>
      </c>
      <c r="I16" s="9">
        <v>14</v>
      </c>
      <c r="J16" s="4">
        <f t="shared" si="0"/>
        <v>0.17059765596564025</v>
      </c>
      <c r="K16" s="4">
        <f t="shared" si="1"/>
        <v>2.5478634345199098E-4</v>
      </c>
      <c r="L16" s="6">
        <f t="shared" si="2"/>
        <v>2.5857691487091959E-2</v>
      </c>
      <c r="M16" s="16">
        <v>17.3135714285714</v>
      </c>
    </row>
    <row r="17" spans="1:13" x14ac:dyDescent="0.35">
      <c r="A17" t="s">
        <v>37</v>
      </c>
      <c r="B17" t="s">
        <v>35</v>
      </c>
      <c r="C17" t="s">
        <v>10</v>
      </c>
      <c r="D17" s="14">
        <v>344.60399999999998</v>
      </c>
      <c r="E17" t="s">
        <v>11</v>
      </c>
      <c r="F17" s="9">
        <v>143719</v>
      </c>
      <c r="G17" s="8">
        <v>23884</v>
      </c>
      <c r="H17">
        <v>29</v>
      </c>
      <c r="I17" s="9">
        <v>23</v>
      </c>
      <c r="J17" s="4">
        <f t="shared" si="0"/>
        <v>0.16618540346092026</v>
      </c>
      <c r="K17" s="4">
        <f t="shared" si="1"/>
        <v>1.6003451179036872E-4</v>
      </c>
      <c r="L17" s="6">
        <f t="shared" si="2"/>
        <v>1.4428236476302127E-2</v>
      </c>
      <c r="M17" s="16">
        <v>14.9827826086957</v>
      </c>
    </row>
    <row r="18" spans="1:13" x14ac:dyDescent="0.35">
      <c r="A18" t="s">
        <v>38</v>
      </c>
      <c r="B18" t="s">
        <v>39</v>
      </c>
      <c r="C18" t="s">
        <v>10</v>
      </c>
      <c r="D18" s="14">
        <v>1112.7450000000001</v>
      </c>
      <c r="E18" t="s">
        <v>22</v>
      </c>
      <c r="F18" s="9">
        <v>302474</v>
      </c>
      <c r="G18" s="8">
        <v>38784</v>
      </c>
      <c r="H18">
        <v>26</v>
      </c>
      <c r="I18" s="9">
        <v>201</v>
      </c>
      <c r="J18" s="4">
        <f t="shared" si="0"/>
        <v>0.12822259103261768</v>
      </c>
      <c r="K18" s="4">
        <f t="shared" si="1"/>
        <v>6.6451992567956254E-4</v>
      </c>
      <c r="L18" s="6">
        <f t="shared" si="2"/>
        <v>2.8690826113861388E-2</v>
      </c>
      <c r="M18" s="16">
        <v>5.5360447761194003</v>
      </c>
    </row>
    <row r="19" spans="1:13" x14ac:dyDescent="0.35">
      <c r="A19" t="s">
        <v>40</v>
      </c>
      <c r="B19" t="s">
        <v>39</v>
      </c>
      <c r="C19" t="s">
        <v>19</v>
      </c>
      <c r="D19" s="14">
        <v>936.65599999999995</v>
      </c>
      <c r="E19" t="s">
        <v>22</v>
      </c>
      <c r="F19" s="9">
        <v>280783</v>
      </c>
      <c r="G19" s="8">
        <v>35998</v>
      </c>
      <c r="H19">
        <v>43</v>
      </c>
      <c r="I19" s="9">
        <v>141</v>
      </c>
      <c r="J19" s="4">
        <f t="shared" si="0"/>
        <v>0.12820576744318565</v>
      </c>
      <c r="K19" s="4">
        <f t="shared" si="1"/>
        <v>5.0216715399436574E-4</v>
      </c>
      <c r="L19" s="6">
        <f t="shared" si="2"/>
        <v>2.6019667759319961E-2</v>
      </c>
      <c r="M19" s="16">
        <v>6.6429503546099298</v>
      </c>
    </row>
    <row r="20" spans="1:13" x14ac:dyDescent="0.35">
      <c r="A20" t="s">
        <v>41</v>
      </c>
      <c r="B20" t="s">
        <v>39</v>
      </c>
      <c r="C20" t="s">
        <v>16</v>
      </c>
      <c r="D20" s="14">
        <v>739.73500000000001</v>
      </c>
      <c r="E20" t="s">
        <v>11</v>
      </c>
      <c r="F20" s="9">
        <v>165370</v>
      </c>
      <c r="G20" s="8">
        <v>19127</v>
      </c>
      <c r="H20">
        <v>47</v>
      </c>
      <c r="I20" s="9">
        <v>108</v>
      </c>
      <c r="J20" s="4">
        <f t="shared" si="0"/>
        <v>0.11566184918667231</v>
      </c>
      <c r="K20" s="4">
        <f t="shared" si="1"/>
        <v>6.5308096994618132E-4</v>
      </c>
      <c r="L20" s="6">
        <f t="shared" si="2"/>
        <v>3.8674909813352851E-2</v>
      </c>
      <c r="M20" s="16">
        <v>6.8493981481481496</v>
      </c>
    </row>
    <row r="21" spans="1:13" x14ac:dyDescent="0.35">
      <c r="A21" t="s">
        <v>42</v>
      </c>
      <c r="B21" t="s">
        <v>39</v>
      </c>
      <c r="C21" t="s">
        <v>19</v>
      </c>
      <c r="D21" s="14">
        <v>1002.664</v>
      </c>
      <c r="E21" t="s">
        <v>22</v>
      </c>
      <c r="F21" s="9">
        <v>276453</v>
      </c>
      <c r="G21" s="8">
        <v>32872</v>
      </c>
      <c r="H21">
        <v>42</v>
      </c>
      <c r="I21" s="9">
        <v>193</v>
      </c>
      <c r="J21" s="4">
        <f t="shared" si="0"/>
        <v>0.11890628786810055</v>
      </c>
      <c r="K21" s="4">
        <f t="shared" si="1"/>
        <v>6.9812951930346202E-4</v>
      </c>
      <c r="L21" s="6">
        <f t="shared" si="2"/>
        <v>3.0502068629836943E-2</v>
      </c>
      <c r="M21" s="16">
        <v>5.1951502590673595</v>
      </c>
    </row>
    <row r="22" spans="1:13" x14ac:dyDescent="0.35">
      <c r="A22" t="s">
        <v>43</v>
      </c>
      <c r="B22" t="s">
        <v>44</v>
      </c>
      <c r="C22" t="s">
        <v>16</v>
      </c>
      <c r="D22" s="14">
        <v>706.10299999999995</v>
      </c>
      <c r="E22" t="s">
        <v>22</v>
      </c>
      <c r="F22" s="9">
        <v>213630</v>
      </c>
      <c r="G22" s="8">
        <v>21150</v>
      </c>
      <c r="H22">
        <v>29</v>
      </c>
      <c r="I22" s="9">
        <v>1060</v>
      </c>
      <c r="J22" s="4">
        <f t="shared" si="0"/>
        <v>9.9002949024013479E-2</v>
      </c>
      <c r="K22" s="4">
        <f t="shared" si="1"/>
        <v>4.9618499274446471E-3</v>
      </c>
      <c r="L22" s="6">
        <f t="shared" si="2"/>
        <v>3.3385484633569738E-2</v>
      </c>
      <c r="M22" s="16">
        <v>0.66613490566037703</v>
      </c>
    </row>
    <row r="23" spans="1:13" x14ac:dyDescent="0.35">
      <c r="A23" t="s">
        <v>45</v>
      </c>
      <c r="B23" t="s">
        <v>44</v>
      </c>
      <c r="C23" t="s">
        <v>19</v>
      </c>
      <c r="D23" s="14">
        <v>759.92700000000002</v>
      </c>
      <c r="E23" t="s">
        <v>14</v>
      </c>
      <c r="F23" s="9">
        <v>178025</v>
      </c>
      <c r="G23" s="8">
        <v>18612</v>
      </c>
      <c r="H23">
        <v>44</v>
      </c>
      <c r="I23" s="9">
        <v>883</v>
      </c>
      <c r="J23" s="4">
        <f t="shared" si="0"/>
        <v>0.10454711416935823</v>
      </c>
      <c r="K23" s="4">
        <f t="shared" si="1"/>
        <v>4.9599775312456117E-3</v>
      </c>
      <c r="L23" s="6">
        <f t="shared" si="2"/>
        <v>4.0829948420373956E-2</v>
      </c>
      <c r="M23" s="16">
        <v>0.86061947904869796</v>
      </c>
    </row>
    <row r="24" spans="1:13" x14ac:dyDescent="0.35">
      <c r="A24" t="s">
        <v>46</v>
      </c>
      <c r="B24" t="s">
        <v>44</v>
      </c>
      <c r="C24" t="s">
        <v>31</v>
      </c>
      <c r="D24" s="14">
        <v>845.2700000000001</v>
      </c>
      <c r="E24" t="s">
        <v>11</v>
      </c>
      <c r="F24" s="9">
        <v>320445</v>
      </c>
      <c r="G24" s="8">
        <v>36488</v>
      </c>
      <c r="H24">
        <v>28</v>
      </c>
      <c r="I24" s="9">
        <v>1593</v>
      </c>
      <c r="J24" s="4">
        <f t="shared" si="0"/>
        <v>0.11386665418402533</v>
      </c>
      <c r="K24" s="4">
        <f t="shared" si="1"/>
        <v>4.9712119084398257E-3</v>
      </c>
      <c r="L24" s="6">
        <f t="shared" si="2"/>
        <v>2.3165698311773737E-2</v>
      </c>
      <c r="M24" s="16">
        <v>0.53061519146264902</v>
      </c>
    </row>
    <row r="25" spans="1:13" x14ac:dyDescent="0.35">
      <c r="A25" t="s">
        <v>47</v>
      </c>
      <c r="B25" t="s">
        <v>48</v>
      </c>
      <c r="C25" t="s">
        <v>13</v>
      </c>
      <c r="D25" s="14">
        <v>970.04899999999998</v>
      </c>
      <c r="E25" t="s">
        <v>14</v>
      </c>
      <c r="F25" s="9">
        <v>394938</v>
      </c>
      <c r="G25" s="8">
        <v>42150</v>
      </c>
      <c r="H25">
        <v>35</v>
      </c>
      <c r="I25" s="9">
        <v>1089</v>
      </c>
      <c r="J25" s="4">
        <f t="shared" si="0"/>
        <v>0.10672561262780488</v>
      </c>
      <c r="K25" s="4">
        <f t="shared" si="1"/>
        <v>2.7573948315938197E-3</v>
      </c>
      <c r="L25" s="6">
        <f t="shared" si="2"/>
        <v>2.3014211150652431E-2</v>
      </c>
      <c r="M25" s="16">
        <v>0.89077043158861302</v>
      </c>
    </row>
    <row r="26" spans="1:13" x14ac:dyDescent="0.35">
      <c r="A26" t="s">
        <v>49</v>
      </c>
      <c r="B26" t="s">
        <v>48</v>
      </c>
      <c r="C26" t="s">
        <v>10</v>
      </c>
      <c r="D26" s="14">
        <v>1083.1780000000001</v>
      </c>
      <c r="E26" t="s">
        <v>11</v>
      </c>
      <c r="F26" s="9">
        <v>329115</v>
      </c>
      <c r="G26" s="8">
        <v>29800</v>
      </c>
      <c r="H26">
        <v>41</v>
      </c>
      <c r="I26" s="9">
        <v>907</v>
      </c>
      <c r="J26" s="4">
        <f t="shared" si="0"/>
        <v>9.0545857830849397E-2</v>
      </c>
      <c r="K26" s="4">
        <f t="shared" si="1"/>
        <v>2.7558756057912887E-3</v>
      </c>
      <c r="L26" s="6">
        <f t="shared" si="2"/>
        <v>3.6348255033557049E-2</v>
      </c>
      <c r="M26" s="16">
        <v>1.1942425578831299</v>
      </c>
    </row>
    <row r="27" spans="1:13" x14ac:dyDescent="0.35">
      <c r="A27" t="s">
        <v>50</v>
      </c>
      <c r="B27" t="s">
        <v>48</v>
      </c>
      <c r="C27" t="s">
        <v>19</v>
      </c>
      <c r="D27" s="14">
        <v>1333.1950000000002</v>
      </c>
      <c r="E27" t="s">
        <v>22</v>
      </c>
      <c r="F27" s="9">
        <v>263292</v>
      </c>
      <c r="G27" s="8">
        <v>25400</v>
      </c>
      <c r="H27">
        <v>38</v>
      </c>
      <c r="I27" s="9">
        <v>725</v>
      </c>
      <c r="J27" s="4">
        <f t="shared" si="0"/>
        <v>9.6470838460720423E-2</v>
      </c>
      <c r="K27" s="4">
        <f t="shared" si="1"/>
        <v>2.7535967670874921E-3</v>
      </c>
      <c r="L27" s="6">
        <f t="shared" si="2"/>
        <v>5.2487992125984255E-2</v>
      </c>
      <c r="M27" s="16">
        <v>1.8388896551724099</v>
      </c>
    </row>
    <row r="28" spans="1:13" x14ac:dyDescent="0.35">
      <c r="A28" t="s">
        <v>51</v>
      </c>
      <c r="B28" t="s">
        <v>48</v>
      </c>
      <c r="C28" t="s">
        <v>16</v>
      </c>
      <c r="D28" s="14">
        <v>1275.8780000000002</v>
      </c>
      <c r="E28" t="s">
        <v>14</v>
      </c>
      <c r="F28" s="9">
        <v>329115</v>
      </c>
      <c r="G28" s="8">
        <v>32500</v>
      </c>
      <c r="H28">
        <v>44</v>
      </c>
      <c r="I28" s="9">
        <v>1006</v>
      </c>
      <c r="J28" s="4">
        <f t="shared" si="0"/>
        <v>9.8749677164516964E-2</v>
      </c>
      <c r="K28" s="4">
        <f t="shared" si="1"/>
        <v>3.0566823146924329E-3</v>
      </c>
      <c r="L28" s="6">
        <f t="shared" si="2"/>
        <v>3.9257784615384622E-2</v>
      </c>
      <c r="M28" s="16">
        <v>1.2682683896620301</v>
      </c>
    </row>
    <row r="29" spans="1:13" x14ac:dyDescent="0.35">
      <c r="A29" t="s">
        <v>52</v>
      </c>
      <c r="B29" t="s">
        <v>53</v>
      </c>
      <c r="C29" t="s">
        <v>10</v>
      </c>
      <c r="D29" s="14">
        <v>1222.9389999999999</v>
      </c>
      <c r="E29" t="s">
        <v>22</v>
      </c>
      <c r="F29" s="9">
        <v>265479</v>
      </c>
      <c r="G29" s="8">
        <v>20600</v>
      </c>
      <c r="H29">
        <v>33</v>
      </c>
      <c r="I29" s="9">
        <v>94</v>
      </c>
      <c r="J29" s="4">
        <f t="shared" si="0"/>
        <v>7.7595591365042058E-2</v>
      </c>
      <c r="K29" s="4">
        <f t="shared" si="1"/>
        <v>3.5407697030650256E-4</v>
      </c>
      <c r="L29" s="6">
        <f t="shared" si="2"/>
        <v>5.9365970873786401E-2</v>
      </c>
      <c r="M29" s="16">
        <v>13.0099893617021</v>
      </c>
    </row>
    <row r="30" spans="1:13" x14ac:dyDescent="0.35">
      <c r="A30" t="s">
        <v>54</v>
      </c>
      <c r="B30" t="s">
        <v>53</v>
      </c>
      <c r="C30" t="s">
        <v>21</v>
      </c>
      <c r="D30" s="14">
        <v>1179.7670000000001</v>
      </c>
      <c r="E30" t="s">
        <v>14</v>
      </c>
      <c r="F30" s="9">
        <v>221232</v>
      </c>
      <c r="G30" s="8">
        <v>17100</v>
      </c>
      <c r="H30">
        <v>29</v>
      </c>
      <c r="I30" s="9">
        <v>79</v>
      </c>
      <c r="J30" s="4">
        <f t="shared" si="0"/>
        <v>7.7294423953135169E-2</v>
      </c>
      <c r="K30" s="4">
        <f t="shared" si="1"/>
        <v>3.570911983799812E-4</v>
      </c>
      <c r="L30" s="6">
        <f t="shared" si="2"/>
        <v>6.8992222222222219E-2</v>
      </c>
      <c r="M30" s="16">
        <v>14.9337594936709</v>
      </c>
    </row>
    <row r="31" spans="1:13" x14ac:dyDescent="0.35">
      <c r="A31" t="s">
        <v>55</v>
      </c>
      <c r="B31" t="s">
        <v>53</v>
      </c>
      <c r="C31" t="s">
        <v>19</v>
      </c>
      <c r="D31" s="14">
        <v>1342.694</v>
      </c>
      <c r="E31" t="s">
        <v>11</v>
      </c>
      <c r="F31" s="9">
        <v>398219</v>
      </c>
      <c r="G31" s="8">
        <v>30900</v>
      </c>
      <c r="H31">
        <v>36</v>
      </c>
      <c r="I31" s="9">
        <v>143</v>
      </c>
      <c r="J31" s="4">
        <f t="shared" si="0"/>
        <v>7.7595493936753399E-2</v>
      </c>
      <c r="K31" s="4">
        <f t="shared" si="1"/>
        <v>3.5909888779792022E-4</v>
      </c>
      <c r="L31" s="6">
        <f t="shared" si="2"/>
        <v>4.3452880258899672E-2</v>
      </c>
      <c r="M31" s="16">
        <v>9.3894685314685304</v>
      </c>
    </row>
    <row r="32" spans="1:13" x14ac:dyDescent="0.35">
      <c r="A32" t="s">
        <v>56</v>
      </c>
      <c r="B32" t="s">
        <v>57</v>
      </c>
      <c r="C32" t="s">
        <v>10</v>
      </c>
      <c r="D32" s="14">
        <v>701.38699999999994</v>
      </c>
      <c r="E32" t="s">
        <v>22</v>
      </c>
      <c r="F32" s="9">
        <v>408018</v>
      </c>
      <c r="G32" s="8">
        <v>27200</v>
      </c>
      <c r="H32">
        <v>31</v>
      </c>
      <c r="I32" s="9">
        <v>332</v>
      </c>
      <c r="J32" s="4">
        <f t="shared" si="0"/>
        <v>6.6663725619948141E-2</v>
      </c>
      <c r="K32" s="4">
        <f t="shared" si="1"/>
        <v>8.1368959212583755E-4</v>
      </c>
      <c r="L32" s="6">
        <f t="shared" si="2"/>
        <v>2.578628676470588E-2</v>
      </c>
      <c r="M32" s="16">
        <v>2.1126114457831298</v>
      </c>
    </row>
    <row r="33" spans="1:13" x14ac:dyDescent="0.35">
      <c r="A33" t="s">
        <v>58</v>
      </c>
      <c r="B33" t="s">
        <v>57</v>
      </c>
      <c r="C33" t="s">
        <v>19</v>
      </c>
      <c r="D33" s="14">
        <v>777.41200000000003</v>
      </c>
      <c r="E33" t="s">
        <v>14</v>
      </c>
      <c r="F33" s="9">
        <v>340015</v>
      </c>
      <c r="G33" s="8">
        <v>22600</v>
      </c>
      <c r="H33">
        <v>27</v>
      </c>
      <c r="I33" s="9">
        <v>276</v>
      </c>
      <c r="J33" s="4">
        <f t="shared" si="0"/>
        <v>6.6467655838713002E-2</v>
      </c>
      <c r="K33" s="4">
        <f t="shared" si="1"/>
        <v>8.1172889431348617E-4</v>
      </c>
      <c r="L33" s="6">
        <f t="shared" si="2"/>
        <v>3.4398761061946906E-2</v>
      </c>
      <c r="M33" s="16">
        <v>2.8167101449275398</v>
      </c>
    </row>
    <row r="34" spans="1:13" x14ac:dyDescent="0.35">
      <c r="A34" t="s">
        <v>59</v>
      </c>
      <c r="B34" t="s">
        <v>57</v>
      </c>
      <c r="C34" t="s">
        <v>31</v>
      </c>
      <c r="D34" s="14">
        <v>900.49099999999999</v>
      </c>
      <c r="E34" t="s">
        <v>11</v>
      </c>
      <c r="F34" s="9">
        <v>272012</v>
      </c>
      <c r="G34" s="8">
        <v>18100</v>
      </c>
      <c r="H34">
        <v>35</v>
      </c>
      <c r="I34" s="9">
        <v>221</v>
      </c>
      <c r="J34" s="4">
        <f t="shared" si="0"/>
        <v>6.6541182006676178E-2</v>
      </c>
      <c r="K34" s="4">
        <f t="shared" si="1"/>
        <v>8.1246415599311799E-4</v>
      </c>
      <c r="L34" s="6">
        <f t="shared" si="2"/>
        <v>4.9750883977900555E-2</v>
      </c>
      <c r="M34" s="16">
        <v>4.0746199095022595</v>
      </c>
    </row>
    <row r="35" spans="1:13" x14ac:dyDescent="0.35">
      <c r="A35" t="s">
        <v>60</v>
      </c>
      <c r="B35" t="s">
        <v>57</v>
      </c>
      <c r="C35" t="s">
        <v>13</v>
      </c>
      <c r="D35" s="14">
        <v>841.21</v>
      </c>
      <c r="E35" t="s">
        <v>22</v>
      </c>
      <c r="F35" s="9">
        <v>340015</v>
      </c>
      <c r="G35" s="8">
        <v>22650</v>
      </c>
      <c r="H35">
        <v>40</v>
      </c>
      <c r="I35" s="9">
        <v>278</v>
      </c>
      <c r="J35" s="4">
        <f t="shared" si="0"/>
        <v>6.6614708174639353E-2</v>
      </c>
      <c r="K35" s="4">
        <f t="shared" si="1"/>
        <v>8.176109877505404E-4</v>
      </c>
      <c r="L35" s="6">
        <f t="shared" si="2"/>
        <v>3.7139514348785874E-2</v>
      </c>
      <c r="M35" s="16">
        <v>3.0259352517985603</v>
      </c>
    </row>
    <row r="36" spans="1:13" x14ac:dyDescent="0.35">
      <c r="A36" t="s">
        <v>61</v>
      </c>
      <c r="B36" t="s">
        <v>62</v>
      </c>
      <c r="C36" t="s">
        <v>13</v>
      </c>
      <c r="D36" s="14">
        <v>866.41100000000006</v>
      </c>
      <c r="E36" t="s">
        <v>22</v>
      </c>
      <c r="F36" s="9">
        <v>88098</v>
      </c>
      <c r="G36" s="8">
        <v>1798</v>
      </c>
      <c r="H36">
        <v>44</v>
      </c>
      <c r="I36" s="9">
        <v>4</v>
      </c>
      <c r="J36" s="4">
        <f t="shared" si="0"/>
        <v>2.0409089877182228E-2</v>
      </c>
      <c r="K36" s="4">
        <f t="shared" si="1"/>
        <v>4.540398192921519E-5</v>
      </c>
      <c r="L36" s="6">
        <f t="shared" si="2"/>
        <v>0.48187486095661852</v>
      </c>
      <c r="M36" s="16">
        <v>216.60275000000001</v>
      </c>
    </row>
    <row r="37" spans="1:13" x14ac:dyDescent="0.35">
      <c r="A37" t="s">
        <v>63</v>
      </c>
      <c r="B37" t="s">
        <v>62</v>
      </c>
      <c r="C37" t="s">
        <v>21</v>
      </c>
      <c r="D37" s="14">
        <v>758.04099999999994</v>
      </c>
      <c r="E37" t="s">
        <v>14</v>
      </c>
      <c r="F37" s="9">
        <v>73308</v>
      </c>
      <c r="G37" s="8">
        <v>1496</v>
      </c>
      <c r="H37">
        <v>38</v>
      </c>
      <c r="I37" s="9">
        <v>3</v>
      </c>
      <c r="J37" s="4">
        <f t="shared" si="0"/>
        <v>2.0407049708080972E-2</v>
      </c>
      <c r="K37" s="4">
        <f t="shared" si="1"/>
        <v>4.092322802422655E-5</v>
      </c>
      <c r="L37" s="6">
        <f t="shared" si="2"/>
        <v>0.50671189839572184</v>
      </c>
      <c r="M37" s="16">
        <v>252.68033333333301</v>
      </c>
    </row>
    <row r="38" spans="1:13" x14ac:dyDescent="0.35">
      <c r="A38" t="s">
        <v>64</v>
      </c>
      <c r="B38" t="s">
        <v>62</v>
      </c>
      <c r="C38" t="s">
        <v>19</v>
      </c>
      <c r="D38" s="14">
        <v>907.98199999999997</v>
      </c>
      <c r="E38" t="s">
        <v>11</v>
      </c>
      <c r="F38" s="9">
        <v>132255</v>
      </c>
      <c r="G38" s="8">
        <v>2700</v>
      </c>
      <c r="H38">
        <v>42</v>
      </c>
      <c r="I38" s="9">
        <v>7</v>
      </c>
      <c r="J38" s="4">
        <f t="shared" si="0"/>
        <v>2.0415107179312691E-2</v>
      </c>
      <c r="K38" s="4">
        <f t="shared" si="1"/>
        <v>5.2928055650069939E-5</v>
      </c>
      <c r="L38" s="6">
        <f t="shared" si="2"/>
        <v>0.33628962962962961</v>
      </c>
      <c r="M38" s="16">
        <v>129.71171428571398</v>
      </c>
    </row>
    <row r="39" spans="1:13" x14ac:dyDescent="0.35">
      <c r="A39" t="s">
        <v>65</v>
      </c>
      <c r="B39" t="s">
        <v>66</v>
      </c>
      <c r="C39" t="s">
        <v>10</v>
      </c>
      <c r="D39" s="14">
        <v>949.25400000000013</v>
      </c>
      <c r="E39" t="s">
        <v>22</v>
      </c>
      <c r="F39" s="9">
        <v>331962</v>
      </c>
      <c r="G39" s="8">
        <v>90</v>
      </c>
      <c r="H39">
        <v>29</v>
      </c>
      <c r="I39" s="9">
        <v>10</v>
      </c>
      <c r="J39" s="4">
        <f t="shared" si="0"/>
        <v>2.7111536862652952E-4</v>
      </c>
      <c r="K39" s="4">
        <f t="shared" si="1"/>
        <v>3.0123929847392171E-5</v>
      </c>
      <c r="L39" s="6">
        <f t="shared" si="2"/>
        <v>10.547266666666669</v>
      </c>
      <c r="M39" s="16">
        <v>94.925399999999996</v>
      </c>
    </row>
    <row r="40" spans="1:13" x14ac:dyDescent="0.35">
      <c r="A40" t="s">
        <v>67</v>
      </c>
      <c r="B40" t="s">
        <v>66</v>
      </c>
      <c r="C40" t="s">
        <v>16</v>
      </c>
      <c r="D40" s="14">
        <v>1109.4069999999999</v>
      </c>
      <c r="E40" t="s">
        <v>14</v>
      </c>
      <c r="F40" s="9">
        <v>276635</v>
      </c>
      <c r="G40" s="8">
        <v>75</v>
      </c>
      <c r="H40">
        <v>33</v>
      </c>
      <c r="I40" s="9">
        <v>75</v>
      </c>
      <c r="J40" s="4">
        <f t="shared" si="0"/>
        <v>2.7111536862652952E-4</v>
      </c>
      <c r="K40" s="4">
        <f t="shared" si="1"/>
        <v>2.7111536862652952E-4</v>
      </c>
      <c r="L40" s="6">
        <f t="shared" si="2"/>
        <v>14.792093333333332</v>
      </c>
      <c r="M40" s="16">
        <v>14.792093333333302</v>
      </c>
    </row>
    <row r="41" spans="1:13" x14ac:dyDescent="0.35">
      <c r="A41" t="s">
        <v>68</v>
      </c>
      <c r="B41" t="s">
        <v>66</v>
      </c>
      <c r="C41" t="s">
        <v>19</v>
      </c>
      <c r="D41" s="14">
        <v>887.24799999999993</v>
      </c>
      <c r="E41" t="s">
        <v>11</v>
      </c>
      <c r="F41" s="9">
        <v>221308</v>
      </c>
      <c r="G41" s="8">
        <v>60</v>
      </c>
      <c r="H41">
        <v>37</v>
      </c>
      <c r="I41" s="9">
        <v>96</v>
      </c>
      <c r="J41" s="4">
        <f t="shared" si="0"/>
        <v>2.7111536862652952E-4</v>
      </c>
      <c r="K41" s="4">
        <f t="shared" si="1"/>
        <v>4.3378458980244727E-4</v>
      </c>
      <c r="L41" s="6">
        <f t="shared" si="2"/>
        <v>14.787466666666665</v>
      </c>
      <c r="M41" s="16">
        <v>9.2421666666666695</v>
      </c>
    </row>
    <row r="42" spans="1:13" x14ac:dyDescent="0.35">
      <c r="A42" t="s">
        <v>69</v>
      </c>
      <c r="B42" t="s">
        <v>66</v>
      </c>
      <c r="C42" t="s">
        <v>13</v>
      </c>
      <c r="D42" s="14">
        <v>990.49099999999999</v>
      </c>
      <c r="E42" t="s">
        <v>22</v>
      </c>
      <c r="F42" s="9">
        <v>276635</v>
      </c>
      <c r="G42" s="8">
        <v>76</v>
      </c>
      <c r="H42">
        <v>45</v>
      </c>
      <c r="I42" s="9">
        <v>120</v>
      </c>
      <c r="J42" s="4">
        <f t="shared" si="0"/>
        <v>2.7473024020821659E-4</v>
      </c>
      <c r="K42" s="4">
        <f t="shared" si="1"/>
        <v>4.3378458980244727E-4</v>
      </c>
      <c r="L42" s="6">
        <f t="shared" si="2"/>
        <v>13.032776315789473</v>
      </c>
      <c r="M42" s="16">
        <v>8.254091666666671</v>
      </c>
    </row>
    <row r="43" spans="1:13" x14ac:dyDescent="0.35">
      <c r="A43" t="s">
        <v>70</v>
      </c>
      <c r="B43" t="s">
        <v>35</v>
      </c>
      <c r="C43" t="s">
        <v>19</v>
      </c>
      <c r="D43" s="14">
        <v>266.85300000000001</v>
      </c>
      <c r="E43" t="s">
        <v>11</v>
      </c>
      <c r="F43" s="9">
        <v>53676</v>
      </c>
      <c r="G43" s="8">
        <v>8260</v>
      </c>
      <c r="H43">
        <v>23</v>
      </c>
      <c r="I43" s="9">
        <v>13</v>
      </c>
      <c r="J43" s="4">
        <f t="shared" si="0"/>
        <v>0.15388628064684404</v>
      </c>
      <c r="K43" s="4">
        <f t="shared" si="1"/>
        <v>2.4219390416573515E-4</v>
      </c>
      <c r="L43" s="6">
        <f t="shared" si="2"/>
        <v>3.2306658595641649E-2</v>
      </c>
      <c r="M43" s="16">
        <v>20.527153846153801</v>
      </c>
    </row>
    <row r="44" spans="1:13" x14ac:dyDescent="0.35">
      <c r="A44" t="s">
        <v>71</v>
      </c>
      <c r="B44" t="s">
        <v>62</v>
      </c>
      <c r="C44" t="s">
        <v>10</v>
      </c>
      <c r="D44" s="14">
        <v>320.76599999999996</v>
      </c>
      <c r="E44" t="s">
        <v>11</v>
      </c>
      <c r="F44" s="9">
        <v>54849</v>
      </c>
      <c r="G44" s="8">
        <v>8260</v>
      </c>
      <c r="H44">
        <v>23</v>
      </c>
      <c r="I44" s="9">
        <v>9</v>
      </c>
      <c r="J44" s="4">
        <f t="shared" si="0"/>
        <v>0.15059527065215408</v>
      </c>
      <c r="K44" s="4">
        <f t="shared" si="1"/>
        <v>1.6408685664278291E-4</v>
      </c>
      <c r="L44" s="6">
        <f t="shared" si="2"/>
        <v>3.8833656174334139E-2</v>
      </c>
      <c r="M44" s="16">
        <v>35.640666666666696</v>
      </c>
    </row>
    <row r="45" spans="1:13" x14ac:dyDescent="0.35">
      <c r="J45" s="4"/>
    </row>
    <row r="46" spans="1:13" ht="16" x14ac:dyDescent="0.4">
      <c r="A46" s="1"/>
      <c r="B46" s="1"/>
      <c r="C46" s="1"/>
      <c r="D46" s="11"/>
      <c r="E46" s="1"/>
      <c r="F46" s="2"/>
      <c r="G46" s="13"/>
      <c r="H46" s="3"/>
      <c r="I46" s="3"/>
      <c r="J46" s="3"/>
      <c r="K46" s="3"/>
      <c r="L46" s="5"/>
      <c r="M46" s="5"/>
    </row>
    <row r="47" spans="1:13" x14ac:dyDescent="0.35">
      <c r="F47" s="10"/>
      <c r="I47" s="9"/>
      <c r="J47" s="4"/>
      <c r="K47" s="4"/>
      <c r="L47" s="6"/>
      <c r="M47" s="6"/>
    </row>
    <row r="48" spans="1:13" x14ac:dyDescent="0.35">
      <c r="F48" s="10"/>
      <c r="I48" s="9"/>
      <c r="J48" s="4"/>
      <c r="K48" s="4"/>
      <c r="L48" s="6"/>
      <c r="M48" s="6"/>
    </row>
    <row r="49" spans="4:13" x14ac:dyDescent="0.35">
      <c r="F49" s="10"/>
      <c r="I49" s="9"/>
      <c r="J49" s="4"/>
      <c r="K49" s="4"/>
      <c r="L49" s="6"/>
      <c r="M49" s="6"/>
    </row>
    <row r="50" spans="4:13" x14ac:dyDescent="0.35">
      <c r="F50" s="10"/>
      <c r="I50" s="9"/>
      <c r="J50" s="4"/>
      <c r="K50" s="4"/>
      <c r="L50" s="6"/>
      <c r="M50" s="6"/>
    </row>
    <row r="51" spans="4:13" x14ac:dyDescent="0.35">
      <c r="F51" s="10"/>
      <c r="I51" s="9"/>
      <c r="J51" s="4"/>
      <c r="K51" s="4"/>
      <c r="L51" s="6"/>
      <c r="M51" s="6"/>
    </row>
    <row r="52" spans="4:13" x14ac:dyDescent="0.35">
      <c r="F52" s="10"/>
      <c r="I52" s="9"/>
      <c r="J52" s="4"/>
      <c r="K52" s="4"/>
      <c r="L52" s="6"/>
      <c r="M52" s="6"/>
    </row>
    <row r="53" spans="4:13" x14ac:dyDescent="0.35">
      <c r="F53" s="10"/>
      <c r="I53" s="9"/>
      <c r="J53" s="4"/>
      <c r="K53" s="4"/>
      <c r="L53" s="6"/>
      <c r="M53" s="6"/>
    </row>
    <row r="54" spans="4:13" x14ac:dyDescent="0.35">
      <c r="F54" s="10"/>
      <c r="I54" s="9"/>
      <c r="J54" s="4"/>
      <c r="K54" s="4"/>
      <c r="L54" s="6"/>
      <c r="M54" s="6"/>
    </row>
    <row r="55" spans="4:13" x14ac:dyDescent="0.35">
      <c r="F55" s="10"/>
      <c r="I55" s="9"/>
      <c r="J55" s="4"/>
      <c r="K55" s="4"/>
      <c r="L55" s="6"/>
      <c r="M55" s="6"/>
    </row>
    <row r="56" spans="4:13" x14ac:dyDescent="0.35">
      <c r="F56" s="10"/>
      <c r="I56" s="9"/>
      <c r="J56" s="4"/>
      <c r="K56" s="4"/>
      <c r="L56" s="6"/>
      <c r="M56" s="6"/>
    </row>
    <row r="57" spans="4:13" x14ac:dyDescent="0.35">
      <c r="F57" s="10"/>
      <c r="I57" s="9"/>
      <c r="J57" s="4"/>
      <c r="K57" s="4"/>
      <c r="L57" s="6"/>
      <c r="M57" s="6"/>
    </row>
    <row r="58" spans="4:13" x14ac:dyDescent="0.35">
      <c r="D58"/>
      <c r="G58"/>
      <c r="L58"/>
      <c r="M58"/>
    </row>
    <row r="59" spans="4:13" x14ac:dyDescent="0.35">
      <c r="D59"/>
      <c r="G59"/>
      <c r="L59"/>
      <c r="M59"/>
    </row>
    <row r="60" spans="4:13" x14ac:dyDescent="0.35">
      <c r="D60"/>
      <c r="G60"/>
      <c r="L60"/>
      <c r="M60"/>
    </row>
    <row r="61" spans="4:13" x14ac:dyDescent="0.35">
      <c r="D61"/>
      <c r="G61"/>
      <c r="L61"/>
      <c r="M61"/>
    </row>
  </sheetData>
  <autoFilter ref="A1:M44" xr:uid="{72E3D8E2-6CA0-43D8-ABD4-6AD063D54BF6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 health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ithe yayo</dc:creator>
  <cp:lastModifiedBy>ithe yayo</cp:lastModifiedBy>
  <dcterms:created xsi:type="dcterms:W3CDTF">2026-10-21T08:58:01Z</dcterms:created>
  <dcterms:modified xsi:type="dcterms:W3CDTF">2026-10-24T11:23:58Z</dcterms:modified>
</cp:coreProperties>
</file>